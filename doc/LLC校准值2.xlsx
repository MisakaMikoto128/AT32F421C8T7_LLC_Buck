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yu\Desktop\WorkPlace\LLC_Buck\AT32F421C8T7_LLC_Buck\AT32F421C8T7_LLC_Buck\doc\"/>
    </mc:Choice>
  </mc:AlternateContent>
  <xr:revisionPtr revIDLastSave="0" documentId="8_{2A822651-5A3F-429D-85D4-6AE3514F8285}" xr6:coauthVersionLast="47" xr6:coauthVersionMax="47" xr10:uidLastSave="{00000000-0000-0000-0000-000000000000}"/>
  <bookViews>
    <workbookView xWindow="-98" yWindow="-98" windowWidth="21795" windowHeight="12975" activeTab="2" xr2:uid="{3EBE218D-4CDC-4453-B005-BD629B427393}"/>
  </bookViews>
  <sheets>
    <sheet name="输入电流" sheetId="2" r:id="rId1"/>
    <sheet name="LLC 电压" sheetId="1" r:id="rId2"/>
    <sheet name="设置函数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2" i="1"/>
  <c r="B13" i="1"/>
  <c r="B7" i="1"/>
  <c r="B8" i="1"/>
  <c r="B9" i="1"/>
</calcChain>
</file>

<file path=xl/sharedStrings.xml><?xml version="1.0" encoding="utf-8"?>
<sst xmlns="http://schemas.openxmlformats.org/spreadsheetml/2006/main" count="2" uniqueCount="2">
  <si>
    <t>设定值</t>
    <phoneticPr fontId="1" type="noConversion"/>
  </si>
  <si>
    <t>测量值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</si>
</sst>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'LLC 电压'!$A$1:$A$3</c:f>
              <c:numCache>
                <c:formatCode>General</c:formatCode>
                <c:ptCount val="3"/>
                <c:pt idx="0">
                  <c:v>3921</c:v>
                </c:pt>
                <c:pt idx="1">
                  <c:v>4014</c:v>
                </c:pt>
                <c:pt idx="2">
                  <c:v>3372</c:v>
                </c:pt>
              </c:numCache>
            </c:numRef>
          </c:xVal>
          <c:yVal>
            <c:numRef>
              <c:f>'LLC 电压'!$B$1:$B$3</c:f>
              <c:numCache>
                <c:formatCode>General</c:formatCode>
                <c:ptCount val="3"/>
                <c:pt idx="0">
                  <c:v>349.6</c:v>
                </c:pt>
                <c:pt idx="1">
                  <c:v>358.3</c:v>
                </c:pt>
                <c:pt idx="2">
                  <c:v>301.39999999999998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4-4669-A6F9-D21B6C68F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976192"/>
        <c:axId val="425961792"/>
      </c:scatterChart>
      <c:valAx>
        <c:axId val="42597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5961792"/>
        <c:crosses val="autoZero"/>
        <c:crossBetween val="midCat"/>
      </c:valAx>
      <c:valAx>
        <c:axId val="4259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5976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'LLC 电压'!$B$7:$B$9</c:f>
              <c:numCache>
                <c:formatCode>General</c:formatCode>
                <c:ptCount val="3"/>
                <c:pt idx="0">
                  <c:v>3.1590087890624998</c:v>
                </c:pt>
                <c:pt idx="1">
                  <c:v>3.2339355468749997</c:v>
                </c:pt>
                <c:pt idx="2">
                  <c:v>2.7166992187499996</c:v>
                </c:pt>
              </c:numCache>
            </c:numRef>
          </c:xVal>
          <c:yVal>
            <c:numRef>
              <c:f>'LLC 电压'!$C$7:$C$9</c:f>
              <c:numCache>
                <c:formatCode>General</c:formatCode>
                <c:ptCount val="3"/>
                <c:pt idx="0">
                  <c:v>349.6</c:v>
                </c:pt>
                <c:pt idx="1">
                  <c:v>358.3</c:v>
                </c:pt>
                <c:pt idx="2">
                  <c:v>301.39999999999998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91-442D-83C0-2E47B0BAB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436064"/>
        <c:axId val="962410624"/>
      </c:scatterChart>
      <c:valAx>
        <c:axId val="96243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2410624"/>
        <c:crosses val="autoZero"/>
        <c:crossBetween val="midCat"/>
      </c:valAx>
      <c:valAx>
        <c:axId val="96241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243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'LLC 电压'!$B$11:$B$13</c:f>
              <c:numCache>
                <c:formatCode>General</c:formatCode>
                <c:ptCount val="3"/>
                <c:pt idx="0">
                  <c:v>1.8191894531249999</c:v>
                </c:pt>
                <c:pt idx="1">
                  <c:v>1.7386230468749999</c:v>
                </c:pt>
                <c:pt idx="2">
                  <c:v>1.6717529296875</c:v>
                </c:pt>
              </c:numCache>
            </c:numRef>
          </c:xVal>
          <c:yVal>
            <c:numRef>
              <c:f>'LLC 电压'!$C$11:$C$13</c:f>
              <c:numCache>
                <c:formatCode>General</c:formatCode>
                <c:ptCount val="3"/>
                <c:pt idx="0">
                  <c:v>201.3</c:v>
                </c:pt>
                <c:pt idx="1">
                  <c:v>192.5</c:v>
                </c:pt>
                <c:pt idx="2">
                  <c:v>184.9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06-4561-9FC8-E03C34FF6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2391424"/>
        <c:axId val="962387584"/>
      </c:scatterChart>
      <c:valAx>
        <c:axId val="96239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2387584"/>
        <c:crosses val="autoZero"/>
        <c:crossBetween val="midCat"/>
      </c:valAx>
      <c:valAx>
        <c:axId val="96238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239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设置函数!$C$2:$C$11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100</c:v>
                </c:pt>
                <c:pt idx="9">
                  <c:v>120</c:v>
                </c:pt>
              </c:numCache>
            </c:numRef>
          </c:xVal>
          <c:yVal>
            <c:numRef>
              <c:f>设置函数!$B$2:$B$11</c:f>
              <c:numCache>
                <c:formatCode>General</c:formatCode>
                <c:ptCount val="10"/>
                <c:pt idx="0">
                  <c:v>6.8</c:v>
                </c:pt>
                <c:pt idx="1">
                  <c:v>11.34</c:v>
                </c:pt>
                <c:pt idx="2">
                  <c:v>16.45</c:v>
                </c:pt>
                <c:pt idx="3">
                  <c:v>21.4</c:v>
                </c:pt>
                <c:pt idx="4">
                  <c:v>26.45</c:v>
                </c:pt>
                <c:pt idx="5">
                  <c:v>36.56</c:v>
                </c:pt>
                <c:pt idx="6">
                  <c:v>46.61</c:v>
                </c:pt>
                <c:pt idx="7">
                  <c:v>56.81</c:v>
                </c:pt>
                <c:pt idx="8">
                  <c:v>97.12</c:v>
                </c:pt>
                <c:pt idx="9">
                  <c:v>117.57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4F-4EEA-B523-DD7D93804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611264"/>
        <c:axId val="1764611744"/>
      </c:scatterChart>
      <c:valAx>
        <c:axId val="176461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611744"/>
        <c:crosses val="autoZero"/>
        <c:crossBetween val="midCat"/>
      </c:valAx>
      <c:valAx>
        <c:axId val="17646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61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设置函数!$C$1</c:f>
              <c:strCache>
                <c:ptCount val="1"/>
                <c:pt idx="0">
                  <c:v>设定值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设置函数!$B$2:$B$11</c:f>
              <c:numCache>
                <c:formatCode>General</c:formatCode>
                <c:ptCount val="10"/>
                <c:pt idx="0">
                  <c:v>6.8</c:v>
                </c:pt>
                <c:pt idx="1">
                  <c:v>11.34</c:v>
                </c:pt>
                <c:pt idx="2">
                  <c:v>16.45</c:v>
                </c:pt>
                <c:pt idx="3">
                  <c:v>21.4</c:v>
                </c:pt>
                <c:pt idx="4">
                  <c:v>26.45</c:v>
                </c:pt>
                <c:pt idx="5">
                  <c:v>36.56</c:v>
                </c:pt>
                <c:pt idx="6">
                  <c:v>46.61</c:v>
                </c:pt>
                <c:pt idx="7">
                  <c:v>56.81</c:v>
                </c:pt>
                <c:pt idx="8">
                  <c:v>97.12</c:v>
                </c:pt>
                <c:pt idx="9">
                  <c:v>117.57</c:v>
                </c:pt>
              </c:numCache>
            </c:numRef>
          </c:xVal>
          <c:yVal>
            <c:numRef>
              <c:f>设置函数!$C$2:$C$11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100</c:v>
                </c:pt>
                <c:pt idx="9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7-4E6D-90CE-90FF8ADAF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846976"/>
        <c:axId val="1771847936"/>
      </c:scatterChart>
      <c:valAx>
        <c:axId val="177184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1847936"/>
        <c:crosses val="autoZero"/>
        <c:crossBetween val="midCat"/>
      </c:valAx>
      <c:valAx>
        <c:axId val="17718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184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497680</xdr:colOff>
      <xdr:row>5</xdr:row>
      <xdr:rowOff>135729</xdr:rowOff>
    </xdr:from>
    <xdr:to>
      <xdr:col>10</xdr:col>
      <xdr:colOff>535780</xdr:colOff>
      <xdr:row>21</xdr:row>
      <xdr:rowOff>59529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A189FFC-E9C9-533F-EDE7-E5CCCC6AE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402431</xdr:colOff>
      <xdr:row>6</xdr:row>
      <xdr:rowOff>159543</xdr:rowOff>
    </xdr:from>
    <xdr:to>
      <xdr:col>11</xdr:col>
      <xdr:colOff>440531</xdr:colOff>
      <xdr:row>22</xdr:row>
      <xdr:rowOff>83343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043F0D1-CD62-A228-9C11-22F79FD81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507206</xdr:colOff>
      <xdr:row>13</xdr:row>
      <xdr:rowOff>21430</xdr:rowOff>
    </xdr:from>
    <xdr:to>
      <xdr:col>13</xdr:col>
      <xdr:colOff>545306</xdr:colOff>
      <xdr:row>28</xdr:row>
      <xdr:rowOff>121443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E5AAF31-3C59-75A6-F318-4C0ACE541F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130968</xdr:colOff>
      <xdr:row>7</xdr:row>
      <xdr:rowOff>35718</xdr:rowOff>
    </xdr:from>
    <xdr:to>
      <xdr:col>15</xdr:col>
      <xdr:colOff>169068</xdr:colOff>
      <xdr:row>22</xdr:row>
      <xdr:rowOff>135731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2150EB6-AAA2-CD5A-8779-0F15D7B30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321469</xdr:colOff>
      <xdr:row>7</xdr:row>
      <xdr:rowOff>2380</xdr:rowOff>
    </xdr:from>
    <xdr:to>
      <xdr:col>9</xdr:col>
      <xdr:colOff>359569</xdr:colOff>
      <xdr:row>22</xdr:row>
      <xdr:rowOff>102393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AA11C43-120D-373D-10E7-159975FB6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F1C7-0FEB-4582-948B-9F90B5E6E817}">
  <dimension ref="A1:B2"/>
  <sheetViews>
    <sheetView zoomScale="115" workbookViewId="0">
      <selection activeCell="C19" sqref="C19"/>
    </sheetView>
  </sheetViews>
  <sheetFormatPr defaultRowHeight="13.9" x14ac:dyDescent="0.4"/>
  <sheetData>
    <row r="1" spans="1:2" x14ac:dyDescent="0.4">
      <c r="A1">
        <v>3231</v>
      </c>
      <c r="B1">
        <v>2.3E-2</v>
      </c>
    </row>
    <row r="2" spans="1:2" x14ac:dyDescent="0.4">
      <c r="A2">
        <v>3254</v>
      </c>
      <c r="B2">
        <v>2.3E-2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D572-9530-4FA2-97E8-33A3A673EB46}">
  <dimension ref="A1:C13"/>
  <sheetViews>
    <sheetView workbookViewId="0">
      <selection activeCell="B7" sqref="B7"/>
    </sheetView>
  </sheetViews>
  <sheetFormatPr defaultRowHeight="13.9" x14ac:dyDescent="0.4"/>
  <sheetData>
    <row r="1" spans="1:3" x14ac:dyDescent="0.4">
      <c r="A1">
        <v>3921</v>
      </c>
      <c r="B1">
        <v>349.6</v>
      </c>
    </row>
    <row r="2" spans="1:3" x14ac:dyDescent="0.4">
      <c r="A2">
        <v>4014</v>
      </c>
      <c r="B2">
        <v>358.3</v>
      </c>
    </row>
    <row r="3" spans="1:3" x14ac:dyDescent="0.4">
      <c r="A3">
        <v>3372</v>
      </c>
      <c r="B3">
        <v>301.39999999999998</v>
      </c>
    </row>
    <row r="7" spans="1:3" x14ac:dyDescent="0.4">
      <c r="A7">
        <v>3921</v>
      </c>
      <c r="B7">
        <f>A7*3.3/4096</f>
        <v>3.1590087890624998</v>
      </c>
      <c r="C7">
        <v>349.6</v>
      </c>
    </row>
    <row r="8" spans="1:3" x14ac:dyDescent="0.4">
      <c r="A8">
        <v>4014</v>
      </c>
      <c r="B8">
        <f t="shared" ref="B8:B13" si="0">A8*3.3/4096</f>
        <v>3.2339355468749997</v>
      </c>
      <c r="C8">
        <v>358.3</v>
      </c>
    </row>
    <row r="9" spans="1:3" x14ac:dyDescent="0.4">
      <c r="A9">
        <v>3372</v>
      </c>
      <c r="B9">
        <f t="shared" si="0"/>
        <v>2.7166992187499996</v>
      </c>
      <c r="C9">
        <v>301.39999999999998</v>
      </c>
    </row>
    <row r="11" spans="1:3" x14ac:dyDescent="0.4">
      <c r="A11">
        <v>2258</v>
      </c>
      <c r="B11">
        <f t="shared" si="0"/>
        <v>1.8191894531249999</v>
      </c>
      <c r="C11">
        <v>201.3</v>
      </c>
    </row>
    <row r="12" spans="1:3" x14ac:dyDescent="0.4">
      <c r="A12">
        <v>2158</v>
      </c>
      <c r="B12">
        <f t="shared" si="0"/>
        <v>1.7386230468749999</v>
      </c>
      <c r="C12">
        <v>192.5</v>
      </c>
    </row>
    <row r="13" spans="1:3" x14ac:dyDescent="0.4">
      <c r="A13">
        <v>2075</v>
      </c>
      <c r="B13">
        <f t="shared" si="0"/>
        <v>1.6717529296875</v>
      </c>
      <c r="C13">
        <v>184.9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CD1A-A17E-49A3-8B75-87DB5311F766}">
  <dimension ref="B1:C11"/>
  <sheetViews>
    <sheetView tabSelected="1" workbookViewId="0">
      <selection activeCell="B1" sqref="B1:C11"/>
    </sheetView>
  </sheetViews>
  <sheetFormatPr defaultRowHeight="13.9" x14ac:dyDescent="0.4"/>
  <sheetData>
    <row r="1" spans="2:3" x14ac:dyDescent="0.4">
      <c r="B1" t="s">
        <v>1</v>
      </c>
      <c r="C1" t="s">
        <v>0</v>
      </c>
    </row>
    <row r="2" spans="2:3" x14ac:dyDescent="0.4">
      <c r="B2">
        <v>6.8</v>
      </c>
      <c r="C2">
        <v>10</v>
      </c>
    </row>
    <row r="3" spans="2:3" x14ac:dyDescent="0.4">
      <c r="B3">
        <v>11.34</v>
      </c>
      <c r="C3">
        <v>15</v>
      </c>
    </row>
    <row r="4" spans="2:3" x14ac:dyDescent="0.4">
      <c r="B4">
        <v>16.45</v>
      </c>
      <c r="C4">
        <v>20</v>
      </c>
    </row>
    <row r="5" spans="2:3" x14ac:dyDescent="0.4">
      <c r="B5">
        <v>21.4</v>
      </c>
      <c r="C5">
        <v>25</v>
      </c>
    </row>
    <row r="6" spans="2:3" x14ac:dyDescent="0.4">
      <c r="B6">
        <v>26.45</v>
      </c>
      <c r="C6">
        <v>30</v>
      </c>
    </row>
    <row r="7" spans="2:3" x14ac:dyDescent="0.4">
      <c r="B7">
        <v>36.56</v>
      </c>
      <c r="C7">
        <v>40</v>
      </c>
    </row>
    <row r="8" spans="2:3" x14ac:dyDescent="0.4">
      <c r="B8">
        <v>46.61</v>
      </c>
      <c r="C8">
        <v>50</v>
      </c>
    </row>
    <row r="9" spans="2:3" x14ac:dyDescent="0.4">
      <c r="B9">
        <v>56.81</v>
      </c>
      <c r="C9">
        <v>60</v>
      </c>
    </row>
    <row r="10" spans="2:3" x14ac:dyDescent="0.4">
      <c r="B10">
        <v>97.12</v>
      </c>
      <c r="C10">
        <v>100</v>
      </c>
    </row>
    <row r="11" spans="2:3" x14ac:dyDescent="0.4">
      <c r="B11">
        <v>117.57</v>
      </c>
      <c r="C11">
        <v>120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输入电流</vt:lpstr>
      <vt:lpstr>LLC 电压</vt:lpstr>
      <vt:lpstr>设置函数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Misaka Misaki</dc:creator>
  <cp:lastModifiedBy>Misaka Misaki</cp:lastModifiedBy>
  <dcterms:created xsi:type="dcterms:W3CDTF">2025-06-07T05:04:51Z</dcterms:created>
  <dcterms:modified xsi:type="dcterms:W3CDTF">2025-06-10T09:16:43Z</dcterms:modified>
</cp:coreProperties>
</file>